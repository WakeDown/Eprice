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ei.mahnev\Downloads\"/>
    </mc:Choice>
  </mc:AlternateContent>
  <bookViews>
    <workbookView xWindow="0" yWindow="0" windowWidth="24000" windowHeight="9735"/>
  </bookViews>
  <sheets>
    <sheet name="лот" sheetId="19" r:id="rId1"/>
    <sheet name="Лист1" sheetId="20" r:id="rId2"/>
  </sheets>
  <definedNames>
    <definedName name="_xlnm._FilterDatabase" localSheetId="0" hidden="1">лот!$A$15:$J$44</definedName>
    <definedName name="OLE_LINK1" localSheetId="0">лот!#REF!</definedName>
    <definedName name="OLE_LINK17" localSheetId="0">лот!$D$8</definedName>
    <definedName name="OLE_LINK3" localSheetId="0">лот!#REF!</definedName>
    <definedName name="OLE_LINK5" localSheetId="0">лот!#REF!</definedName>
    <definedName name="USD">лот!$D$1</definedName>
  </definedNames>
  <calcPr calcId="162912"/>
</workbook>
</file>

<file path=xl/calcChain.xml><?xml version="1.0" encoding="utf-8"?>
<calcChain xmlns="http://schemas.openxmlformats.org/spreadsheetml/2006/main">
  <c r="A17" i="19" l="1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K49" i="19"/>
  <c r="L42" i="19"/>
  <c r="J43" i="19"/>
  <c r="J44" i="19"/>
</calcChain>
</file>

<file path=xl/comments1.xml><?xml version="1.0" encoding="utf-8"?>
<comments xmlns="http://schemas.openxmlformats.org/spreadsheetml/2006/main">
  <authors>
    <author>Natalia.Fedichkina</author>
  </authors>
  <commentList>
    <comment ref="C2" authorId="0" shapeId="0">
      <text>
        <r>
          <rPr>
            <b/>
            <sz val="9"/>
            <color indexed="81"/>
            <rFont val="Tahoma"/>
            <family val="2"/>
            <charset val="204"/>
          </rPr>
          <t>Natalia.Fedichkina:</t>
        </r>
        <r>
          <rPr>
            <sz val="9"/>
            <color indexed="81"/>
            <rFont val="Tahoma"/>
            <family val="2"/>
            <charset val="204"/>
          </rPr>
          <t xml:space="preserve">
Нужное значение выбрать из списка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  <charset val="204"/>
          </rPr>
          <t>Natalia.Fedichkina:</t>
        </r>
        <r>
          <rPr>
            <sz val="9"/>
            <color indexed="81"/>
            <rFont val="Tahoma"/>
            <family val="2"/>
            <charset val="204"/>
          </rPr>
          <t xml:space="preserve">
При необходимости</t>
        </r>
      </text>
    </comment>
  </commentList>
</comments>
</file>

<file path=xl/sharedStrings.xml><?xml version="1.0" encoding="utf-8"?>
<sst xmlns="http://schemas.openxmlformats.org/spreadsheetml/2006/main" count="131" uniqueCount="79">
  <si>
    <t>Курс Доллара</t>
  </si>
  <si>
    <t>Тип сделки</t>
  </si>
  <si>
    <t>Открытй конкурс</t>
  </si>
  <si>
    <t>ФИО менеджера</t>
  </si>
  <si>
    <t>Наименование заказчика</t>
  </si>
  <si>
    <t>Срок готовности цен от снабжения</t>
  </si>
  <si>
    <t>Максимальная цена контракта</t>
  </si>
  <si>
    <t>Срок поставки</t>
  </si>
  <si>
    <t>Место поставки (адрес)</t>
  </si>
  <si>
    <t>Окончание приема заявок (согласно документации)</t>
  </si>
  <si>
    <t>Дата аукциона</t>
  </si>
  <si>
    <t>Дополнительные сведения</t>
  </si>
  <si>
    <t>ТЗР</t>
  </si>
  <si>
    <t>Курсовая разница</t>
  </si>
  <si>
    <t>Рентабельность</t>
  </si>
  <si>
    <t>№ п/п</t>
  </si>
  <si>
    <t>Каталожный номер</t>
  </si>
  <si>
    <t>Наименование</t>
  </si>
  <si>
    <t>Замена</t>
  </si>
  <si>
    <t xml:space="preserve">Ед. изм. </t>
  </si>
  <si>
    <t>Кол-во</t>
  </si>
  <si>
    <t>Снабженец</t>
  </si>
  <si>
    <t>Цен,$ от снаб.</t>
  </si>
  <si>
    <t>Вход за ед., руб.</t>
  </si>
  <si>
    <t>Сумма входа, руб</t>
  </si>
  <si>
    <t>Цена за ед., руб.</t>
  </si>
  <si>
    <t xml:space="preserve"> Сумма, руб </t>
  </si>
  <si>
    <t>Кабель питания, 5м, schuko - iec c19</t>
  </si>
  <si>
    <t>шт.</t>
  </si>
  <si>
    <t>Черданцев А.</t>
  </si>
  <si>
    <t>Терминальный сервер moxa cn2510-8</t>
  </si>
  <si>
    <t>Конвертер интерфейсов USB и UART (USB2UART-1.0)</t>
  </si>
  <si>
    <t>Коммутатор Eltex MES5248</t>
  </si>
  <si>
    <t>Модуль SFP+ оптический SNR-SFP+LR-2</t>
  </si>
  <si>
    <t>Модуль SFP+ оптический SNR-SFP+W37-40</t>
  </si>
  <si>
    <t>Модуль SFP+ оптический SNR-SFP+W73-40</t>
  </si>
  <si>
    <t>Патчкорд оптический LC-LC/UPC SM 1m duplex</t>
  </si>
  <si>
    <t>Патчкорд оптический LC-LC/UPC SM 3m duplex</t>
  </si>
  <si>
    <t>Патчкорд оптический LC-LC/UPC SM 5m duplex</t>
  </si>
  <si>
    <t>Патчкорд оптический LC-LC/UPC SM 10m duplex</t>
  </si>
  <si>
    <t>Патчкорд оптический LC-FC/UPC SM 5m simplex</t>
  </si>
  <si>
    <t>Патчкорд оптический LC-FC/UPC SM 10m simplex</t>
  </si>
  <si>
    <t>Патчкорд оптический LC-SC/UPC SM 5m simplex</t>
  </si>
  <si>
    <t>Патчкорд оптический LC-SC/UPC SM 10m simplex</t>
  </si>
  <si>
    <t>Сетевой накопитель Intel JBOD2224S2DP</t>
  </si>
  <si>
    <t>сложности с доступностью</t>
  </si>
  <si>
    <t>Корбан А.</t>
  </si>
  <si>
    <t>Elko</t>
  </si>
  <si>
    <t>Жесткий диск SAS 1.2 Tb Seagate ST1200MM0017</t>
  </si>
  <si>
    <t>Жесткий диск SSD 400Gb Seagate ST400FM0053</t>
  </si>
  <si>
    <t>Сетевая карта Intel X520 Dual Port 10Gb DA/SFP+</t>
  </si>
  <si>
    <t>Сетевой адаптер Intel Original Server Adapter X520-SR1 E10G41BFSR</t>
  </si>
  <si>
    <t>merlion</t>
  </si>
  <si>
    <t>Контроллер SAS HBA: LSI SAS 9207-8e 8xExt</t>
  </si>
  <si>
    <t>Контроллер LSI 9207-8e HBA, 8i ports (LSI00300)</t>
  </si>
  <si>
    <t>Кабель SAS SFF 8088x4 to SFF 8088x4</t>
  </si>
  <si>
    <t>3WARE Cable CBL-SFF8088SAS-20M (SFF8088-SFF8088), 200cm (Кабель SAS,длина 200см,наконечники: SFF8088(контроллер)-SFF8088(внеш.устройство))</t>
  </si>
  <si>
    <t>OCS</t>
  </si>
  <si>
    <t>Жесткий диск Western Digital SAS 2.5" 600 Gb WD6000BKHG</t>
  </si>
  <si>
    <t xml:space="preserve"> 0B26013
HGST Enterprise HDD 2.5" SAS 600Gb, 10000rpm, 64MB buffer (HUC109060CSS600) </t>
  </si>
  <si>
    <t>Treolan</t>
  </si>
  <si>
    <t>Жесткий диск Seagate SAS 3.5" 600Gb ST3600057SS</t>
  </si>
  <si>
    <t>3</t>
  </si>
  <si>
    <t xml:space="preserve">Сборка </t>
  </si>
  <si>
    <t>шт</t>
  </si>
  <si>
    <t>4</t>
  </si>
  <si>
    <t xml:space="preserve">Гарантия  </t>
  </si>
  <si>
    <t>5</t>
  </si>
  <si>
    <t>Доставка</t>
  </si>
  <si>
    <t>Итого:</t>
  </si>
  <si>
    <t>Бюджет</t>
  </si>
  <si>
    <t>Валовик</t>
  </si>
  <si>
    <t>Котировка</t>
  </si>
  <si>
    <t>Аукцион</t>
  </si>
  <si>
    <t>Открытый запрос цен</t>
  </si>
  <si>
    <t>Открытый запрос предложений</t>
  </si>
  <si>
    <t>Закрытый запрос цен</t>
  </si>
  <si>
    <t>Закрытый запрос предложений</t>
  </si>
  <si>
    <t>Закрытый конкурс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</si>
</sst>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\ _р_._-;\-* #,##0.00\ _р_._-;_-* &quot;-&quot;??\ _р_._-;_-@_-"/>
    <numFmt numFmtId="165" formatCode="_-* #,##0.00&quot;р.&quot;_-;\-* #,##0.00&quot;р.&quot;_-;_-* &quot;-&quot;??&quot;р.&quot;_-;_-@_-"/>
    <numFmt numFmtId="166" formatCode="[$$-409]#,##0.00"/>
    <numFmt numFmtId="167" formatCode="#,##0.00&quot;р.&quot;"/>
    <numFmt numFmtId="168" formatCode="_-[$$-409]* #,##0.00_ ;_-[$$-409]* \-#,##0.00\ ;_-[$$-409]* &quot;-&quot;??_ ;_-@_ "/>
    <numFmt numFmtId="169" formatCode="#,##0.00\ &quot;р.&quot;"/>
  </numFmts>
  <fonts count="24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8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0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rgb="FF002060"/>
      <name val="Times New Roman"/>
      <family val="1"/>
      <charset val="204"/>
    </font>
    <font>
      <b/>
      <sz val="10"/>
      <color rgb="FFD00000"/>
      <name val="Times New Roman"/>
      <family val="1"/>
      <charset val="204"/>
    </font>
    <font>
      <sz val="10"/>
      <color rgb="FFD00000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color theme="8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Helv"/>
      <charset val="204"/>
    </font>
    <font>
      <sz val="12"/>
      <color indexed="8"/>
      <name val="Franklin Gothic Book"/>
      <family val="2"/>
      <charset val="204"/>
    </font>
    <font>
      <sz val="12"/>
      <color rgb="FF00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0" fontId="4" fillId="0" borderId="0"/>
    <xf numFmtId="0" fontId="6" fillId="0" borderId="0"/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21" fillId="0" borderId="0"/>
    <xf numFmtId="164" fontId="1" fillId="0" borderId="0" applyFont="0" applyFill="0" applyBorder="0" applyAlignment="0" applyProtection="0"/>
  </cellStyleXfs>
  <cellXfs count="103">
    <xf numFmtId="0" fontId="0" fillId="0" borderId="0" xfId="0"/>
    <xf numFmtId="0" fontId="2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vertical="top" shrinkToFit="1"/>
    </xf>
    <xf numFmtId="0" fontId="3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left" vertical="top" wrapText="1"/>
    </xf>
    <xf numFmtId="166" fontId="2" fillId="0" borderId="0" xfId="0" applyNumberFormat="1" applyFont="1" applyFill="1" applyAlignment="1">
      <alignment horizontal="center" vertical="top" wrapText="1"/>
    </xf>
    <xf numFmtId="166" fontId="11" fillId="0" borderId="0" xfId="0" applyNumberFormat="1" applyFont="1" applyFill="1" applyAlignment="1">
      <alignment horizontal="center" vertical="top" wrapText="1"/>
    </xf>
    <xf numFmtId="0" fontId="11" fillId="0" borderId="0" xfId="0" applyFont="1" applyFill="1" applyAlignment="1">
      <alignment vertical="top" wrapText="1"/>
    </xf>
    <xf numFmtId="166" fontId="3" fillId="0" borderId="0" xfId="0" applyNumberFormat="1" applyFont="1" applyFill="1" applyAlignment="1">
      <alignment horizontal="center" vertical="top" wrapText="1"/>
    </xf>
    <xf numFmtId="0" fontId="2" fillId="0" borderId="0" xfId="0" applyFont="1" applyAlignment="1">
      <alignment vertical="top"/>
    </xf>
    <xf numFmtId="0" fontId="11" fillId="0" borderId="0" xfId="0" applyFont="1" applyFill="1" applyAlignment="1">
      <alignment horizontal="center"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1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/>
    </xf>
    <xf numFmtId="14" fontId="13" fillId="0" borderId="0" xfId="0" applyNumberFormat="1" applyFont="1" applyFill="1" applyAlignment="1">
      <alignment horizontal="right" vertical="top"/>
    </xf>
    <xf numFmtId="0" fontId="9" fillId="3" borderId="0" xfId="0" applyFont="1" applyFill="1" applyBorder="1" applyAlignment="1">
      <alignment horizontal="right" vertical="top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2" fontId="2" fillId="0" borderId="0" xfId="0" applyNumberFormat="1" applyFont="1" applyFill="1" applyAlignment="1">
      <alignment vertical="top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top" wrapText="1"/>
    </xf>
    <xf numFmtId="166" fontId="3" fillId="2" borderId="3" xfId="0" applyNumberFormat="1" applyFont="1" applyFill="1" applyBorder="1" applyAlignment="1">
      <alignment horizontal="center" vertical="top" wrapText="1"/>
    </xf>
    <xf numFmtId="166" fontId="3" fillId="2" borderId="5" xfId="0" applyNumberFormat="1" applyFont="1" applyFill="1" applyBorder="1" applyAlignment="1">
      <alignment horizontal="center" vertical="top" wrapText="1"/>
    </xf>
    <xf numFmtId="164" fontId="3" fillId="2" borderId="3" xfId="6" applyFont="1" applyFill="1" applyBorder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0" fontId="15" fillId="5" borderId="8" xfId="0" applyFont="1" applyFill="1" applyBorder="1" applyAlignment="1">
      <alignment horizontal="right" vertical="top" wrapText="1"/>
    </xf>
    <xf numFmtId="0" fontId="17" fillId="5" borderId="9" xfId="0" applyFont="1" applyFill="1" applyBorder="1" applyAlignment="1">
      <alignment horizontal="right" vertical="top" wrapText="1"/>
    </xf>
    <xf numFmtId="166" fontId="9" fillId="6" borderId="1" xfId="0" applyNumberFormat="1" applyFont="1" applyFill="1" applyBorder="1" applyAlignment="1">
      <alignment horizontal="center" vertical="top" wrapText="1"/>
    </xf>
    <xf numFmtId="165" fontId="9" fillId="6" borderId="1" xfId="2" applyFont="1" applyFill="1" applyBorder="1" applyAlignment="1">
      <alignment horizontal="center" vertical="top" wrapText="1"/>
    </xf>
    <xf numFmtId="165" fontId="18" fillId="0" borderId="0" xfId="2" applyFont="1"/>
    <xf numFmtId="0" fontId="3" fillId="2" borderId="5" xfId="0" applyFont="1" applyFill="1" applyBorder="1" applyAlignment="1">
      <alignment horizontal="center" vertical="top" wrapText="1"/>
    </xf>
    <xf numFmtId="0" fontId="3" fillId="2" borderId="15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horizontal="center" vertical="top" wrapText="1"/>
    </xf>
    <xf numFmtId="166" fontId="9" fillId="6" borderId="2" xfId="0" applyNumberFormat="1" applyFont="1" applyFill="1" applyBorder="1" applyAlignment="1">
      <alignment horizontal="center" vertical="top" wrapText="1"/>
    </xf>
    <xf numFmtId="165" fontId="9" fillId="6" borderId="2" xfId="2" applyFont="1" applyFill="1" applyBorder="1" applyAlignment="1">
      <alignment horizontal="center" vertical="top" wrapText="1"/>
    </xf>
    <xf numFmtId="14" fontId="19" fillId="0" borderId="0" xfId="0" applyNumberFormat="1" applyFont="1" applyAlignment="1">
      <alignment horizontal="justify" vertical="center"/>
    </xf>
    <xf numFmtId="0" fontId="20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right"/>
    </xf>
    <xf numFmtId="0" fontId="19" fillId="0" borderId="0" xfId="0" applyFont="1"/>
    <xf numFmtId="0" fontId="19" fillId="0" borderId="0" xfId="0" applyFont="1" applyAlignment="1">
      <alignment wrapText="1"/>
    </xf>
    <xf numFmtId="168" fontId="16" fillId="4" borderId="1" xfId="0" applyNumberFormat="1" applyFont="1" applyFill="1" applyBorder="1" applyAlignment="1">
      <alignment horizontal="right" vertical="top" wrapText="1"/>
    </xf>
    <xf numFmtId="2" fontId="16" fillId="4" borderId="1" xfId="0" applyNumberFormat="1" applyFont="1" applyFill="1" applyBorder="1" applyAlignment="1">
      <alignment horizontal="right" vertical="top" wrapText="1"/>
    </xf>
    <xf numFmtId="0" fontId="2" fillId="3" borderId="1" xfId="0" applyNumberFormat="1" applyFont="1" applyFill="1" applyBorder="1" applyAlignment="1">
      <alignment horizontal="center" vertical="top" wrapText="1"/>
    </xf>
    <xf numFmtId="0" fontId="2" fillId="3" borderId="1" xfId="0" applyNumberFormat="1" applyFont="1" applyFill="1" applyBorder="1" applyAlignment="1">
      <alignment horizontal="left" vertical="top" wrapText="1"/>
    </xf>
    <xf numFmtId="0" fontId="10" fillId="3" borderId="1" xfId="0" applyNumberFormat="1" applyFont="1" applyFill="1" applyBorder="1" applyAlignment="1">
      <alignment horizontal="center" vertical="top" wrapText="1"/>
    </xf>
    <xf numFmtId="0" fontId="11" fillId="3" borderId="1" xfId="0" applyNumberFormat="1" applyFont="1" applyFill="1" applyBorder="1" applyAlignment="1">
      <alignment horizontal="center" vertical="top" wrapText="1"/>
    </xf>
    <xf numFmtId="168" fontId="2" fillId="3" borderId="1" xfId="2" applyNumberFormat="1" applyFont="1" applyFill="1" applyBorder="1" applyAlignment="1">
      <alignment horizontal="left" vertical="top" wrapText="1"/>
    </xf>
    <xf numFmtId="167" fontId="2" fillId="3" borderId="1" xfId="0" applyNumberFormat="1" applyFont="1" applyFill="1" applyBorder="1" applyAlignment="1">
      <alignment horizontal="left" vertical="top" wrapText="1"/>
    </xf>
    <xf numFmtId="168" fontId="16" fillId="4" borderId="1" xfId="0" applyNumberFormat="1" applyFont="1" applyFill="1" applyBorder="1" applyAlignment="1">
      <alignment horizontal="left" vertical="top" wrapText="1"/>
    </xf>
    <xf numFmtId="167" fontId="2" fillId="4" borderId="1" xfId="0" applyNumberFormat="1" applyFont="1" applyFill="1" applyBorder="1" applyAlignment="1">
      <alignment horizontal="right" vertical="top" wrapText="1"/>
    </xf>
    <xf numFmtId="167" fontId="2" fillId="4" borderId="1" xfId="0" applyNumberFormat="1" applyFont="1" applyFill="1" applyBorder="1" applyAlignment="1">
      <alignment horizontal="left" vertical="top" wrapText="1"/>
    </xf>
    <xf numFmtId="0" fontId="3" fillId="3" borderId="1" xfId="0" applyNumberFormat="1" applyFont="1" applyFill="1" applyBorder="1" applyAlignment="1">
      <alignment horizontal="left" vertical="top" wrapText="1"/>
    </xf>
    <xf numFmtId="0" fontId="2" fillId="4" borderId="1" xfId="0" applyNumberFormat="1" applyFont="1" applyFill="1" applyBorder="1" applyAlignment="1">
      <alignment horizontal="center" vertical="top" wrapText="1"/>
    </xf>
    <xf numFmtId="169" fontId="2" fillId="4" borderId="1" xfId="0" applyNumberFormat="1" applyFont="1" applyFill="1" applyBorder="1" applyAlignment="1">
      <alignment horizontal="right" vertical="top" wrapText="1"/>
    </xf>
    <xf numFmtId="169" fontId="2" fillId="4" borderId="12" xfId="0" applyNumberFormat="1" applyFont="1" applyFill="1" applyBorder="1" applyAlignment="1">
      <alignment vertical="top" wrapText="1"/>
    </xf>
    <xf numFmtId="49" fontId="2" fillId="3" borderId="11" xfId="0" applyNumberFormat="1" applyFont="1" applyFill="1" applyBorder="1" applyAlignment="1">
      <alignment horizontal="center" vertical="center" wrapText="1"/>
    </xf>
    <xf numFmtId="0" fontId="2" fillId="3" borderId="12" xfId="0" applyNumberFormat="1" applyFont="1" applyFill="1" applyBorder="1" applyAlignment="1">
      <alignment horizontal="left" vertical="top" wrapText="1"/>
    </xf>
    <xf numFmtId="167" fontId="2" fillId="3" borderId="12" xfId="0" applyNumberFormat="1" applyFont="1" applyFill="1" applyBorder="1" applyAlignment="1">
      <alignment horizontal="left" vertical="top" wrapText="1"/>
    </xf>
    <xf numFmtId="0" fontId="2" fillId="6" borderId="13" xfId="0" applyNumberFormat="1" applyFont="1" applyFill="1" applyBorder="1" applyAlignment="1">
      <alignment horizontal="center" vertical="center" wrapText="1"/>
    </xf>
    <xf numFmtId="0" fontId="2" fillId="6" borderId="7" xfId="0" applyNumberFormat="1" applyFont="1" applyFill="1" applyBorder="1" applyAlignment="1">
      <alignment horizontal="center" vertical="top" wrapText="1"/>
    </xf>
    <xf numFmtId="0" fontId="2" fillId="6" borderId="7" xfId="0" applyNumberFormat="1" applyFont="1" applyFill="1" applyBorder="1" applyAlignment="1">
      <alignment horizontal="left" vertical="top" wrapText="1"/>
    </xf>
    <xf numFmtId="0" fontId="2" fillId="6" borderId="7" xfId="0" applyFont="1" applyFill="1" applyBorder="1" applyAlignment="1">
      <alignment horizontal="center" vertical="top" wrapText="1"/>
    </xf>
    <xf numFmtId="0" fontId="10" fillId="6" borderId="7" xfId="0" applyNumberFormat="1" applyFont="1" applyFill="1" applyBorder="1" applyAlignment="1">
      <alignment horizontal="center" vertical="top" wrapText="1"/>
    </xf>
    <xf numFmtId="0" fontId="11" fillId="6" borderId="7" xfId="0" applyNumberFormat="1" applyFont="1" applyFill="1" applyBorder="1" applyAlignment="1">
      <alignment horizontal="center" vertical="top" wrapText="1"/>
    </xf>
    <xf numFmtId="0" fontId="2" fillId="6" borderId="7" xfId="2" applyNumberFormat="1" applyFont="1" applyFill="1" applyBorder="1" applyAlignment="1">
      <alignment horizontal="center" vertical="top" shrinkToFit="1"/>
    </xf>
    <xf numFmtId="167" fontId="2" fillId="6" borderId="7" xfId="2" applyNumberFormat="1" applyFont="1" applyFill="1" applyBorder="1" applyAlignment="1">
      <alignment horizontal="left" vertical="top" shrinkToFit="1"/>
    </xf>
    <xf numFmtId="169" fontId="2" fillId="6" borderId="14" xfId="0" applyNumberFormat="1" applyFont="1" applyFill="1" applyBorder="1" applyAlignment="1">
      <alignment vertical="top" wrapText="1"/>
    </xf>
    <xf numFmtId="0" fontId="2" fillId="4" borderId="6" xfId="0" applyNumberFormat="1" applyFont="1" applyFill="1" applyBorder="1" applyAlignment="1">
      <alignment horizontal="center" vertical="top" wrapText="1"/>
    </xf>
    <xf numFmtId="168" fontId="16" fillId="4" borderId="6" xfId="0" applyNumberFormat="1" applyFont="1" applyFill="1" applyBorder="1" applyAlignment="1">
      <alignment horizontal="left" vertical="top" wrapText="1"/>
    </xf>
    <xf numFmtId="167" fontId="2" fillId="4" borderId="6" xfId="0" applyNumberFormat="1" applyFont="1" applyFill="1" applyBorder="1" applyAlignment="1">
      <alignment horizontal="right" vertical="top" wrapText="1"/>
    </xf>
    <xf numFmtId="167" fontId="2" fillId="4" borderId="6" xfId="0" applyNumberFormat="1" applyFont="1" applyFill="1" applyBorder="1" applyAlignment="1">
      <alignment horizontal="left" vertical="top" wrapText="1"/>
    </xf>
    <xf numFmtId="169" fontId="2" fillId="4" borderId="6" xfId="0" applyNumberFormat="1" applyFont="1" applyFill="1" applyBorder="1" applyAlignment="1">
      <alignment horizontal="right" vertical="top" wrapText="1"/>
    </xf>
    <xf numFmtId="169" fontId="2" fillId="4" borderId="10" xfId="0" applyNumberFormat="1" applyFont="1" applyFill="1" applyBorder="1" applyAlignment="1">
      <alignment vertical="top" wrapText="1"/>
    </xf>
    <xf numFmtId="165" fontId="2" fillId="3" borderId="1" xfId="2" applyFont="1" applyFill="1" applyBorder="1" applyAlignment="1">
      <alignment horizontal="left" vertical="top" wrapText="1"/>
    </xf>
    <xf numFmtId="167" fontId="2" fillId="3" borderId="1" xfId="0" applyNumberFormat="1" applyFont="1" applyFill="1" applyBorder="1" applyAlignment="1">
      <alignment horizontal="right" vertical="top" wrapText="1"/>
    </xf>
    <xf numFmtId="169" fontId="2" fillId="3" borderId="1" xfId="0" applyNumberFormat="1" applyFont="1" applyFill="1" applyBorder="1" applyAlignment="1">
      <alignment horizontal="left" vertical="top" wrapText="1"/>
    </xf>
    <xf numFmtId="169" fontId="2" fillId="3" borderId="12" xfId="0" applyNumberFormat="1" applyFont="1" applyFill="1" applyBorder="1" applyAlignment="1">
      <alignment horizontal="right" vertical="top" wrapText="1"/>
    </xf>
    <xf numFmtId="49" fontId="2" fillId="0" borderId="0" xfId="0" applyNumberFormat="1" applyFont="1" applyFill="1" applyAlignment="1">
      <alignment vertical="top" wrapText="1"/>
    </xf>
    <xf numFmtId="0" fontId="2" fillId="4" borderId="17" xfId="0" applyNumberFormat="1" applyFont="1" applyFill="1" applyBorder="1" applyAlignment="1">
      <alignment horizontal="center" vertical="top" wrapText="1"/>
    </xf>
    <xf numFmtId="0" fontId="2" fillId="4" borderId="4" xfId="0" applyNumberFormat="1" applyFont="1" applyFill="1" applyBorder="1" applyAlignment="1">
      <alignment horizontal="center" vertical="top" wrapText="1"/>
    </xf>
    <xf numFmtId="0" fontId="22" fillId="7" borderId="4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11" fillId="4" borderId="4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top" wrapText="1"/>
    </xf>
    <xf numFmtId="0" fontId="10" fillId="3" borderId="2" xfId="0" applyNumberFormat="1" applyFont="1" applyFill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center" vertical="top" wrapText="1"/>
    </xf>
    <xf numFmtId="2" fontId="2" fillId="0" borderId="0" xfId="0" applyNumberFormat="1" applyFont="1" applyFill="1" applyBorder="1" applyAlignment="1">
      <alignment horizontal="left" vertical="top" wrapText="1"/>
    </xf>
    <xf numFmtId="4" fontId="2" fillId="0" borderId="0" xfId="0" applyNumberFormat="1" applyFont="1" applyFill="1" applyBorder="1" applyAlignment="1">
      <alignment horizontal="left" vertical="top" wrapText="1"/>
    </xf>
    <xf numFmtId="14" fontId="14" fillId="0" borderId="0" xfId="0" applyNumberFormat="1" applyFont="1" applyFill="1" applyBorder="1" applyAlignment="1">
      <alignment horizontal="left" vertical="top" wrapText="1"/>
    </xf>
    <xf numFmtId="14" fontId="2" fillId="0" borderId="0" xfId="0" applyNumberFormat="1" applyFont="1" applyFill="1" applyBorder="1" applyAlignment="1">
      <alignment horizontal="left" vertical="top" wrapText="1"/>
    </xf>
    <xf numFmtId="49" fontId="2" fillId="0" borderId="0" xfId="0" applyNumberFormat="1" applyFont="1" applyFill="1" applyBorder="1" applyAlignment="1">
      <alignment horizontal="left" vertical="top" wrapText="1"/>
    </xf>
  </cellXfs>
  <cellStyles count="10">
    <cellStyle name="Comma" xfId="6" builtinId="3"/>
    <cellStyle name="Currency" xfId="2" builtinId="4"/>
    <cellStyle name="Normal" xfId="0" builtinId="0"/>
    <cellStyle name="Гиперссылка 2" xfId="1"/>
    <cellStyle name="Обычный 2" xfId="3"/>
    <cellStyle name="Обычный 3" xfId="4"/>
    <cellStyle name="Обычный 6" xfId="7"/>
    <cellStyle name="Процентный 2" xfId="5"/>
    <cellStyle name="Стиль 1" xfId="8"/>
    <cellStyle name="Финансовый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pic>
      <xdr:nvPicPr>
        <xdr:cNvPr id="2" name="Рисунок 14582" descr="http://www.alfa-ms.ru/upload/catalog/ru/tn1_0_16411100_1342687342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662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pic>
      <xdr:nvPicPr>
        <xdr:cNvPr id="3" name="Рисунок 14583" descr="http://www.alfa-ms.ru/upload/catalog/ru/tn1_0_14282300_1342687342.jpg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662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pic>
      <xdr:nvPicPr>
        <xdr:cNvPr id="4" name="Рисунок 14675" descr="http://www.alfa-ms.ru/upload/catalog/ru/tn1_0_16411100_1342687342.jp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662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pic>
      <xdr:nvPicPr>
        <xdr:cNvPr id="5" name="Рисунок 14676" descr="http://www.alfa-ms.ru/upload/catalog/ru/tn1_0_14282300_1342687342.jpg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662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pic>
      <xdr:nvPicPr>
        <xdr:cNvPr id="6" name="Рисунок 14823" descr="http://www.alfa-ms.ru/upload/catalog/ru/tn1_0_16411100_1342687342.jpg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662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pic>
      <xdr:nvPicPr>
        <xdr:cNvPr id="7" name="Рисунок 14824" descr="http://www.alfa-ms.ru/upload/catalog/ru/tn1_0_14282300_1342687342.jpg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6625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57150</xdr:rowOff>
    </xdr:from>
    <xdr:to>
      <xdr:col>0</xdr:col>
      <xdr:colOff>0</xdr:colOff>
      <xdr:row>17</xdr:row>
      <xdr:rowOff>142875</xdr:rowOff>
    </xdr:to>
    <xdr:pic>
      <xdr:nvPicPr>
        <xdr:cNvPr id="8" name="Рисунок 14584" descr="http://www.alfa-ms.ru/upload/catalog/ru/tn1_0_01312600_1342687342.jpg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3775"/>
          <a:ext cx="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57150</xdr:rowOff>
    </xdr:from>
    <xdr:to>
      <xdr:col>0</xdr:col>
      <xdr:colOff>0</xdr:colOff>
      <xdr:row>17</xdr:row>
      <xdr:rowOff>142875</xdr:rowOff>
    </xdr:to>
    <xdr:pic>
      <xdr:nvPicPr>
        <xdr:cNvPr id="9" name="Рисунок 14677" descr="http://www.alfa-ms.ru/upload/catalog/ru/tn1_0_01312600_1342687342.jpg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3775"/>
          <a:ext cx="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57150</xdr:rowOff>
    </xdr:from>
    <xdr:to>
      <xdr:col>0</xdr:col>
      <xdr:colOff>0</xdr:colOff>
      <xdr:row>17</xdr:row>
      <xdr:rowOff>142875</xdr:rowOff>
    </xdr:to>
    <xdr:pic>
      <xdr:nvPicPr>
        <xdr:cNvPr id="10" name="Рисунок 14825" descr="http://www.alfa-ms.ru/upload/catalog/ru/tn1_0_01312600_1342687342.jpg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3775"/>
          <a:ext cx="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57150</xdr:rowOff>
    </xdr:from>
    <xdr:to>
      <xdr:col>0</xdr:col>
      <xdr:colOff>0</xdr:colOff>
      <xdr:row>17</xdr:row>
      <xdr:rowOff>142875</xdr:rowOff>
    </xdr:to>
    <xdr:pic>
      <xdr:nvPicPr>
        <xdr:cNvPr id="11" name="Рисунок 15019" descr="http://www.alfa-ms.ru/upload/catalog/ru/tn1_0_01312600_1342687342.jpg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3775"/>
          <a:ext cx="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57150</xdr:rowOff>
    </xdr:from>
    <xdr:to>
      <xdr:col>0</xdr:col>
      <xdr:colOff>0</xdr:colOff>
      <xdr:row>17</xdr:row>
      <xdr:rowOff>142875</xdr:rowOff>
    </xdr:to>
    <xdr:pic>
      <xdr:nvPicPr>
        <xdr:cNvPr id="12" name="Рисунок 15110" descr="http://www.alfa-ms.ru/upload/catalog/ru/tn1_0_01312600_1342687342.jpg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3775"/>
          <a:ext cx="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57150</xdr:rowOff>
    </xdr:from>
    <xdr:to>
      <xdr:col>0</xdr:col>
      <xdr:colOff>0</xdr:colOff>
      <xdr:row>17</xdr:row>
      <xdr:rowOff>142875</xdr:rowOff>
    </xdr:to>
    <xdr:pic>
      <xdr:nvPicPr>
        <xdr:cNvPr id="13" name="Рисунок 15256" descr="http://www.alfa-ms.ru/upload/catalog/ru/tn1_0_01312600_1342687342.jpg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3775"/>
          <a:ext cx="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outlinePr summaryBelow="0"/>
    <pageSetUpPr fitToPage="1"/>
  </sheetPr>
  <dimension ref="A1:O84"/>
  <sheetViews>
    <sheetView tabSelected="1" zoomScaleNormal="100" workbookViewId="0">
      <selection activeCell="D4" sqref="D4"/>
    </sheetView>
  </sheetViews>
  <sheetFormatPr defaultRowHeight="12.75" outlineLevelRow="1" x14ac:dyDescent="0.2"/>
  <cols>
    <col min="1" max="1" width="12.5703125" style="20" customWidth="1"/>
    <col min="2" max="2" width="13.42578125" style="5" customWidth="1"/>
    <col min="3" max="3" width="95.85546875" style="1" customWidth="1"/>
    <col min="4" max="4" width="76.140625" style="1" customWidth="1"/>
    <col min="5" max="5" width="6.140625" style="6" customWidth="1"/>
    <col min="6" max="6" width="8.42578125" style="5" customWidth="1"/>
    <col min="7" max="7" width="13.28515625" style="7" customWidth="1"/>
    <col min="8" max="8" width="27.140625" style="7" customWidth="1"/>
    <col min="9" max="9" width="15.5703125" style="7" customWidth="1"/>
    <col min="10" max="10" width="18.42578125" style="7" customWidth="1"/>
    <col min="11" max="11" width="25.28515625" style="1" customWidth="1"/>
    <col min="12" max="12" width="20.42578125" style="1" customWidth="1"/>
    <col min="13" max="13" width="19.5703125" style="1" customWidth="1"/>
    <col min="14" max="14" width="12.42578125" style="1" bestFit="1" customWidth="1"/>
    <col min="15" max="15" width="33.140625" style="1" customWidth="1"/>
    <col min="16" max="16" width="19.140625" style="1" customWidth="1"/>
    <col min="17" max="16384" width="9.140625" style="1"/>
  </cols>
  <sheetData>
    <row r="1" spans="1:15" x14ac:dyDescent="0.2">
      <c r="C1" s="1" t="s">
        <v>0</v>
      </c>
      <c r="D1" s="23"/>
    </row>
    <row r="2" spans="1:15" s="11" customFormat="1" x14ac:dyDescent="0.2">
      <c r="A2" s="21"/>
      <c r="B2" s="1"/>
      <c r="C2" s="15" t="s">
        <v>1</v>
      </c>
      <c r="D2" s="17" t="s">
        <v>2</v>
      </c>
      <c r="E2" s="99"/>
      <c r="F2" s="99"/>
      <c r="G2" s="99"/>
      <c r="H2" s="99"/>
      <c r="I2" s="99"/>
      <c r="J2" s="99"/>
      <c r="K2" s="31"/>
      <c r="L2" s="31"/>
      <c r="M2" s="31"/>
      <c r="N2" s="31"/>
      <c r="O2" s="31"/>
    </row>
    <row r="3" spans="1:15" s="11" customFormat="1" x14ac:dyDescent="0.2">
      <c r="A3" s="21"/>
      <c r="B3" s="1"/>
      <c r="C3" s="15" t="s">
        <v>3</v>
      </c>
      <c r="D3" s="17"/>
      <c r="E3" s="99"/>
      <c r="F3" s="99"/>
      <c r="G3" s="99"/>
      <c r="H3" s="99"/>
      <c r="I3" s="99"/>
      <c r="J3" s="99"/>
      <c r="K3" s="31"/>
      <c r="L3" s="31"/>
      <c r="M3" s="31"/>
      <c r="N3" s="31"/>
      <c r="O3" s="31"/>
    </row>
    <row r="4" spans="1:15" s="11" customFormat="1" ht="54.75" customHeight="1" x14ac:dyDescent="0.2">
      <c r="A4" s="21"/>
      <c r="B4" s="1"/>
      <c r="C4" s="15" t="s">
        <v>4</v>
      </c>
      <c r="D4" s="44"/>
      <c r="E4" s="99"/>
      <c r="F4" s="99"/>
      <c r="G4" s="99"/>
      <c r="H4" s="99"/>
      <c r="I4" s="99"/>
      <c r="J4" s="99"/>
      <c r="K4" s="31"/>
      <c r="L4" s="31"/>
      <c r="M4" s="31"/>
      <c r="N4" s="31"/>
      <c r="O4" s="31"/>
    </row>
    <row r="5" spans="1:15" s="11" customFormat="1" x14ac:dyDescent="0.2">
      <c r="A5" s="21"/>
      <c r="B5" s="1"/>
      <c r="C5" s="16" t="s">
        <v>5</v>
      </c>
      <c r="D5" s="18"/>
      <c r="E5" s="100"/>
      <c r="F5" s="100"/>
      <c r="G5" s="100"/>
      <c r="H5" s="100"/>
      <c r="I5" s="100"/>
      <c r="J5" s="100"/>
      <c r="K5" s="31"/>
      <c r="L5" s="31"/>
      <c r="M5" s="31"/>
      <c r="N5" s="31"/>
      <c r="O5" s="31"/>
    </row>
    <row r="6" spans="1:15" s="11" customFormat="1" ht="15.75" outlineLevel="1" x14ac:dyDescent="0.25">
      <c r="A6" s="21"/>
      <c r="B6" s="1"/>
      <c r="C6" s="2" t="s">
        <v>6</v>
      </c>
      <c r="D6" s="37"/>
      <c r="E6" s="98"/>
      <c r="F6" s="98"/>
      <c r="G6" s="98"/>
      <c r="H6" s="98"/>
      <c r="I6" s="98"/>
      <c r="J6" s="98"/>
    </row>
    <row r="7" spans="1:15" s="11" customFormat="1" ht="15.75" outlineLevel="1" x14ac:dyDescent="0.25">
      <c r="A7" s="21"/>
      <c r="B7" s="1"/>
      <c r="C7" s="2" t="s">
        <v>7</v>
      </c>
      <c r="D7" s="47"/>
      <c r="E7" s="101"/>
      <c r="F7" s="101"/>
      <c r="G7" s="101"/>
      <c r="H7" s="101"/>
      <c r="I7" s="101"/>
      <c r="J7" s="101"/>
    </row>
    <row r="8" spans="1:15" s="11" customFormat="1" ht="15.75" outlineLevel="1" x14ac:dyDescent="0.25">
      <c r="A8" s="21"/>
      <c r="B8" s="1"/>
      <c r="C8" s="2" t="s">
        <v>8</v>
      </c>
      <c r="D8" s="46"/>
      <c r="E8" s="102"/>
      <c r="F8" s="102"/>
      <c r="G8" s="102"/>
      <c r="H8" s="102"/>
      <c r="I8" s="102"/>
      <c r="J8" s="102"/>
    </row>
    <row r="9" spans="1:15" s="11" customFormat="1" ht="15.75" outlineLevel="1" x14ac:dyDescent="0.2">
      <c r="A9" s="21"/>
      <c r="B9" s="1"/>
      <c r="C9" s="2" t="s">
        <v>9</v>
      </c>
      <c r="D9" s="43"/>
      <c r="E9" s="99"/>
      <c r="F9" s="99"/>
      <c r="G9" s="99"/>
      <c r="H9" s="99"/>
      <c r="I9" s="99"/>
      <c r="J9" s="99"/>
    </row>
    <row r="10" spans="1:15" s="11" customFormat="1" ht="15.75" outlineLevel="1" x14ac:dyDescent="0.25">
      <c r="A10" s="21"/>
      <c r="B10" s="1"/>
      <c r="C10" s="2" t="s">
        <v>10</v>
      </c>
      <c r="D10" s="45"/>
      <c r="E10" s="101"/>
      <c r="F10" s="101"/>
      <c r="G10" s="101"/>
      <c r="H10" s="101"/>
      <c r="I10" s="101"/>
      <c r="J10" s="101"/>
    </row>
    <row r="11" spans="1:15" s="11" customFormat="1" ht="13.5" outlineLevel="1" thickBot="1" x14ac:dyDescent="0.25">
      <c r="A11" s="22"/>
      <c r="B11" s="13"/>
      <c r="C11" s="14" t="s">
        <v>11</v>
      </c>
      <c r="D11" s="19"/>
      <c r="E11" s="102"/>
      <c r="F11" s="102"/>
      <c r="G11" s="102"/>
      <c r="H11" s="102"/>
      <c r="I11" s="102"/>
      <c r="J11" s="102"/>
    </row>
    <row r="12" spans="1:15" s="11" customFormat="1" ht="16.5" outlineLevel="1" thickBot="1" x14ac:dyDescent="0.25">
      <c r="A12" s="22"/>
      <c r="B12" s="13"/>
      <c r="C12" s="33" t="s">
        <v>12</v>
      </c>
      <c r="D12" s="34">
        <v>1.02</v>
      </c>
      <c r="E12" s="96"/>
      <c r="F12" s="96"/>
      <c r="G12" s="96"/>
      <c r="H12" s="96"/>
      <c r="I12" s="96"/>
      <c r="J12" s="96"/>
    </row>
    <row r="13" spans="1:15" s="11" customFormat="1" ht="16.5" outlineLevel="1" thickBot="1" x14ac:dyDescent="0.25">
      <c r="A13" s="22"/>
      <c r="B13" s="13"/>
      <c r="C13" s="33" t="s">
        <v>13</v>
      </c>
      <c r="D13" s="34">
        <v>1</v>
      </c>
      <c r="E13" s="96"/>
      <c r="F13" s="96"/>
      <c r="G13" s="96"/>
      <c r="H13" s="96"/>
      <c r="I13" s="96"/>
      <c r="J13" s="96"/>
    </row>
    <row r="14" spans="1:15" s="11" customFormat="1" ht="16.5" outlineLevel="1" thickBot="1" x14ac:dyDescent="0.25">
      <c r="A14" s="22"/>
      <c r="B14" s="13"/>
      <c r="C14" s="33" t="s">
        <v>14</v>
      </c>
      <c r="D14" s="34"/>
      <c r="E14" s="96"/>
      <c r="F14" s="96"/>
      <c r="G14" s="96"/>
      <c r="H14" s="96"/>
      <c r="I14" s="96"/>
      <c r="J14" s="96"/>
    </row>
    <row r="15" spans="1:15" ht="25.5" x14ac:dyDescent="0.2">
      <c r="A15" s="26" t="s">
        <v>15</v>
      </c>
      <c r="B15" s="38" t="s">
        <v>16</v>
      </c>
      <c r="C15" s="40" t="s">
        <v>17</v>
      </c>
      <c r="D15" s="39" t="s">
        <v>18</v>
      </c>
      <c r="E15" s="27" t="s">
        <v>19</v>
      </c>
      <c r="F15" s="27" t="s">
        <v>20</v>
      </c>
      <c r="G15" s="27" t="s">
        <v>21</v>
      </c>
      <c r="H15" s="28" t="s">
        <v>22</v>
      </c>
      <c r="I15" s="28" t="s">
        <v>23</v>
      </c>
      <c r="J15" s="28" t="s">
        <v>24</v>
      </c>
      <c r="K15" s="29" t="s">
        <v>25</v>
      </c>
      <c r="L15" s="30" t="s">
        <v>26</v>
      </c>
    </row>
    <row r="16" spans="1:15" ht="15.75" hidden="1" x14ac:dyDescent="0.2">
      <c r="A16" s="60">
        <v>1</v>
      </c>
      <c r="B16" s="75"/>
      <c r="C16" s="90" t="s">
        <v>27</v>
      </c>
      <c r="D16" s="86"/>
      <c r="E16" s="94" t="s">
        <v>28</v>
      </c>
      <c r="F16" s="89">
        <v>20</v>
      </c>
      <c r="G16" s="91" t="s">
        <v>29</v>
      </c>
      <c r="H16" s="76"/>
      <c r="I16" s="77"/>
      <c r="J16" s="78"/>
      <c r="K16" s="79"/>
      <c r="L16" s="80"/>
    </row>
    <row r="17" spans="1:13" s="3" customFormat="1" ht="15.75" hidden="1" x14ac:dyDescent="0.2">
      <c r="A17" s="60">
        <f>A16+1</f>
        <v>2</v>
      </c>
      <c r="B17" s="60"/>
      <c r="C17" s="90" t="s">
        <v>30</v>
      </c>
      <c r="D17" s="87"/>
      <c r="E17" s="95" t="s">
        <v>28</v>
      </c>
      <c r="F17" s="89">
        <v>1</v>
      </c>
      <c r="G17" s="91" t="s">
        <v>29</v>
      </c>
      <c r="H17" s="49"/>
      <c r="I17" s="57"/>
      <c r="J17" s="57"/>
      <c r="K17" s="61"/>
      <c r="L17" s="62"/>
    </row>
    <row r="18" spans="1:13" s="3" customFormat="1" ht="15.75" hidden="1" x14ac:dyDescent="0.2">
      <c r="A18" s="60">
        <f t="shared" ref="A18:A38" si="0">A17+1</f>
        <v>3</v>
      </c>
      <c r="B18" s="60"/>
      <c r="C18" s="90" t="s">
        <v>31</v>
      </c>
      <c r="D18" s="87"/>
      <c r="E18" s="95" t="s">
        <v>28</v>
      </c>
      <c r="F18" s="89">
        <v>2</v>
      </c>
      <c r="G18" s="91" t="s">
        <v>29</v>
      </c>
      <c r="H18" s="49"/>
      <c r="I18" s="57"/>
      <c r="J18" s="57"/>
      <c r="K18" s="61"/>
      <c r="L18" s="62"/>
    </row>
    <row r="19" spans="1:13" s="3" customFormat="1" ht="15.75" hidden="1" x14ac:dyDescent="0.2">
      <c r="A19" s="60">
        <f t="shared" si="0"/>
        <v>4</v>
      </c>
      <c r="B19" s="60"/>
      <c r="C19" s="90" t="s">
        <v>32</v>
      </c>
      <c r="D19" s="87"/>
      <c r="E19" s="95" t="s">
        <v>28</v>
      </c>
      <c r="F19" s="89">
        <v>1</v>
      </c>
      <c r="G19" s="91" t="s">
        <v>29</v>
      </c>
      <c r="H19" s="49"/>
      <c r="I19" s="57"/>
      <c r="J19" s="57"/>
      <c r="K19" s="61"/>
      <c r="L19" s="62"/>
    </row>
    <row r="20" spans="1:13" s="3" customFormat="1" ht="16.5" hidden="1" x14ac:dyDescent="0.2">
      <c r="A20" s="60">
        <f t="shared" si="0"/>
        <v>5</v>
      </c>
      <c r="B20" s="60"/>
      <c r="C20" s="90" t="s">
        <v>33</v>
      </c>
      <c r="D20" s="88"/>
      <c r="E20" s="95" t="s">
        <v>28</v>
      </c>
      <c r="F20" s="89">
        <v>40</v>
      </c>
      <c r="G20" s="91" t="s">
        <v>29</v>
      </c>
      <c r="H20" s="48"/>
      <c r="I20" s="57"/>
      <c r="J20" s="57"/>
      <c r="K20" s="61"/>
      <c r="L20" s="62"/>
    </row>
    <row r="21" spans="1:13" s="3" customFormat="1" ht="16.5" hidden="1" x14ac:dyDescent="0.2">
      <c r="A21" s="60">
        <f t="shared" si="0"/>
        <v>6</v>
      </c>
      <c r="B21" s="60"/>
      <c r="C21" s="90" t="s">
        <v>34</v>
      </c>
      <c r="D21" s="88"/>
      <c r="E21" s="95" t="s">
        <v>28</v>
      </c>
      <c r="F21" s="89">
        <v>4</v>
      </c>
      <c r="G21" s="91" t="s">
        <v>29</v>
      </c>
      <c r="H21" s="49"/>
      <c r="I21" s="57"/>
      <c r="J21" s="57"/>
      <c r="K21" s="61"/>
      <c r="L21" s="62"/>
      <c r="M21" s="25"/>
    </row>
    <row r="22" spans="1:13" s="3" customFormat="1" ht="16.5" hidden="1" x14ac:dyDescent="0.2">
      <c r="A22" s="60">
        <f t="shared" si="0"/>
        <v>7</v>
      </c>
      <c r="B22" s="60"/>
      <c r="C22" s="90" t="s">
        <v>35</v>
      </c>
      <c r="D22" s="88"/>
      <c r="E22" s="95" t="s">
        <v>28</v>
      </c>
      <c r="F22" s="89">
        <v>4</v>
      </c>
      <c r="G22" s="91" t="s">
        <v>29</v>
      </c>
      <c r="H22" s="56"/>
      <c r="I22" s="57"/>
      <c r="J22" s="58"/>
      <c r="K22" s="61"/>
      <c r="L22" s="62"/>
    </row>
    <row r="23" spans="1:13" s="3" customFormat="1" ht="16.5" hidden="1" x14ac:dyDescent="0.2">
      <c r="A23" s="60">
        <f t="shared" si="0"/>
        <v>8</v>
      </c>
      <c r="B23" s="60"/>
      <c r="C23" s="90" t="s">
        <v>36</v>
      </c>
      <c r="D23" s="88"/>
      <c r="E23" s="95" t="s">
        <v>28</v>
      </c>
      <c r="F23" s="89">
        <v>20</v>
      </c>
      <c r="G23" s="91" t="s">
        <v>29</v>
      </c>
      <c r="H23" s="49"/>
      <c r="I23" s="57"/>
      <c r="J23" s="57"/>
      <c r="K23" s="61"/>
      <c r="L23" s="62"/>
    </row>
    <row r="24" spans="1:13" s="3" customFormat="1" ht="16.5" hidden="1" x14ac:dyDescent="0.2">
      <c r="A24" s="60">
        <f t="shared" si="0"/>
        <v>9</v>
      </c>
      <c r="B24" s="60"/>
      <c r="C24" s="90" t="s">
        <v>37</v>
      </c>
      <c r="D24" s="88"/>
      <c r="E24" s="95" t="s">
        <v>28</v>
      </c>
      <c r="F24" s="89">
        <v>20</v>
      </c>
      <c r="G24" s="91" t="s">
        <v>29</v>
      </c>
      <c r="H24" s="49"/>
      <c r="I24" s="57"/>
      <c r="J24" s="57"/>
      <c r="K24" s="61"/>
      <c r="L24" s="62"/>
    </row>
    <row r="25" spans="1:13" s="3" customFormat="1" ht="16.5" hidden="1" x14ac:dyDescent="0.2">
      <c r="A25" s="60">
        <f t="shared" si="0"/>
        <v>10</v>
      </c>
      <c r="B25" s="60"/>
      <c r="C25" s="90" t="s">
        <v>38</v>
      </c>
      <c r="D25" s="88"/>
      <c r="E25" s="95" t="s">
        <v>28</v>
      </c>
      <c r="F25" s="89">
        <v>20</v>
      </c>
      <c r="G25" s="91" t="s">
        <v>29</v>
      </c>
      <c r="H25" s="49"/>
      <c r="I25" s="57"/>
      <c r="J25" s="57"/>
      <c r="K25" s="61"/>
      <c r="L25" s="62"/>
    </row>
    <row r="26" spans="1:13" s="3" customFormat="1" ht="16.5" hidden="1" x14ac:dyDescent="0.2">
      <c r="A26" s="60">
        <f t="shared" si="0"/>
        <v>11</v>
      </c>
      <c r="B26" s="60"/>
      <c r="C26" s="90" t="s">
        <v>39</v>
      </c>
      <c r="D26" s="88"/>
      <c r="E26" s="95" t="s">
        <v>28</v>
      </c>
      <c r="F26" s="89">
        <v>20</v>
      </c>
      <c r="G26" s="91" t="s">
        <v>29</v>
      </c>
      <c r="H26" s="49"/>
      <c r="I26" s="57"/>
      <c r="J26" s="57"/>
      <c r="K26" s="61"/>
      <c r="L26" s="62"/>
    </row>
    <row r="27" spans="1:13" s="3" customFormat="1" ht="15.75" hidden="1" x14ac:dyDescent="0.2">
      <c r="A27" s="60">
        <f t="shared" si="0"/>
        <v>12</v>
      </c>
      <c r="B27" s="60"/>
      <c r="C27" s="90" t="s">
        <v>40</v>
      </c>
      <c r="D27" s="87"/>
      <c r="E27" s="95" t="s">
        <v>28</v>
      </c>
      <c r="F27" s="89">
        <v>20</v>
      </c>
      <c r="G27" s="91" t="s">
        <v>29</v>
      </c>
      <c r="H27" s="49"/>
      <c r="I27" s="57"/>
      <c r="J27" s="57"/>
      <c r="K27" s="61"/>
      <c r="L27" s="62"/>
    </row>
    <row r="28" spans="1:13" s="3" customFormat="1" ht="15.75" hidden="1" x14ac:dyDescent="0.2">
      <c r="A28" s="60">
        <f t="shared" si="0"/>
        <v>13</v>
      </c>
      <c r="B28" s="60"/>
      <c r="C28" s="90" t="s">
        <v>41</v>
      </c>
      <c r="D28" s="87"/>
      <c r="E28" s="95" t="s">
        <v>28</v>
      </c>
      <c r="F28" s="89">
        <v>20</v>
      </c>
      <c r="G28" s="91" t="s">
        <v>29</v>
      </c>
      <c r="H28" s="48"/>
      <c r="I28" s="57"/>
      <c r="J28" s="57"/>
      <c r="K28" s="61"/>
      <c r="L28" s="62"/>
    </row>
    <row r="29" spans="1:13" s="3" customFormat="1" ht="15.75" hidden="1" x14ac:dyDescent="0.2">
      <c r="A29" s="60">
        <f t="shared" si="0"/>
        <v>14</v>
      </c>
      <c r="B29" s="60"/>
      <c r="C29" s="90" t="s">
        <v>42</v>
      </c>
      <c r="D29" s="87"/>
      <c r="E29" s="95" t="s">
        <v>28</v>
      </c>
      <c r="F29" s="89">
        <v>20</v>
      </c>
      <c r="G29" s="91" t="s">
        <v>29</v>
      </c>
      <c r="H29" s="49"/>
      <c r="I29" s="57"/>
      <c r="J29" s="57"/>
      <c r="K29" s="61"/>
      <c r="L29" s="62"/>
      <c r="M29" s="25"/>
    </row>
    <row r="30" spans="1:13" s="3" customFormat="1" ht="15.75" hidden="1" x14ac:dyDescent="0.2">
      <c r="A30" s="60">
        <f t="shared" si="0"/>
        <v>15</v>
      </c>
      <c r="B30" s="60"/>
      <c r="C30" s="90" t="s">
        <v>43</v>
      </c>
      <c r="D30" s="87"/>
      <c r="E30" s="95" t="s">
        <v>28</v>
      </c>
      <c r="F30" s="89">
        <v>20</v>
      </c>
      <c r="G30" s="91" t="s">
        <v>29</v>
      </c>
      <c r="H30" s="49"/>
      <c r="I30" s="57"/>
      <c r="J30" s="57"/>
      <c r="K30" s="61"/>
      <c r="L30" s="62"/>
    </row>
    <row r="31" spans="1:13" s="3" customFormat="1" ht="15.75" x14ac:dyDescent="0.2">
      <c r="A31" s="60">
        <f t="shared" si="0"/>
        <v>16</v>
      </c>
      <c r="B31" s="60"/>
      <c r="C31" s="90" t="s">
        <v>44</v>
      </c>
      <c r="D31" s="87" t="s">
        <v>45</v>
      </c>
      <c r="E31" s="95" t="s">
        <v>28</v>
      </c>
      <c r="F31" s="89">
        <v>1</v>
      </c>
      <c r="G31" s="91" t="s">
        <v>46</v>
      </c>
      <c r="H31" s="49"/>
      <c r="I31" s="57"/>
      <c r="J31" s="57"/>
      <c r="K31" s="61"/>
      <c r="L31" s="62"/>
      <c r="M31" s="3" t="s">
        <v>47</v>
      </c>
    </row>
    <row r="32" spans="1:13" s="3" customFormat="1" ht="15.75" x14ac:dyDescent="0.2">
      <c r="A32" s="60">
        <f t="shared" si="0"/>
        <v>17</v>
      </c>
      <c r="B32" s="60"/>
      <c r="C32" s="90" t="s">
        <v>48</v>
      </c>
      <c r="D32" s="87" t="s">
        <v>45</v>
      </c>
      <c r="E32" s="95" t="s">
        <v>28</v>
      </c>
      <c r="F32" s="89">
        <v>8</v>
      </c>
      <c r="G32" s="91" t="s">
        <v>46</v>
      </c>
      <c r="H32" s="49"/>
      <c r="I32" s="57"/>
      <c r="J32" s="57"/>
      <c r="K32" s="61"/>
      <c r="L32" s="62"/>
      <c r="M32" s="3" t="s">
        <v>47</v>
      </c>
    </row>
    <row r="33" spans="1:13" s="3" customFormat="1" ht="15.75" x14ac:dyDescent="0.2">
      <c r="A33" s="60">
        <f t="shared" si="0"/>
        <v>18</v>
      </c>
      <c r="B33" s="60"/>
      <c r="C33" s="90" t="s">
        <v>49</v>
      </c>
      <c r="D33" s="87" t="s">
        <v>45</v>
      </c>
      <c r="E33" s="95" t="s">
        <v>28</v>
      </c>
      <c r="F33" s="89">
        <v>4</v>
      </c>
      <c r="G33" s="91" t="s">
        <v>46</v>
      </c>
      <c r="H33" s="49"/>
      <c r="I33" s="57"/>
      <c r="J33" s="57"/>
      <c r="K33" s="61"/>
      <c r="L33" s="62"/>
      <c r="M33" s="3" t="s">
        <v>47</v>
      </c>
    </row>
    <row r="34" spans="1:13" s="3" customFormat="1" ht="15.75" x14ac:dyDescent="0.2">
      <c r="A34" s="60">
        <f t="shared" si="0"/>
        <v>19</v>
      </c>
      <c r="B34" s="60"/>
      <c r="C34" s="90" t="s">
        <v>50</v>
      </c>
      <c r="D34" s="87" t="s">
        <v>51</v>
      </c>
      <c r="E34" s="95" t="s">
        <v>28</v>
      </c>
      <c r="F34" s="89">
        <v>9</v>
      </c>
      <c r="G34" s="91" t="s">
        <v>46</v>
      </c>
      <c r="H34" s="49"/>
      <c r="I34" s="57"/>
      <c r="J34" s="57"/>
      <c r="K34" s="61"/>
      <c r="L34" s="62"/>
      <c r="M34" s="3" t="s">
        <v>52</v>
      </c>
    </row>
    <row r="35" spans="1:13" s="3" customFormat="1" ht="15.75" x14ac:dyDescent="0.2">
      <c r="A35" s="60">
        <f t="shared" si="0"/>
        <v>20</v>
      </c>
      <c r="B35" s="60"/>
      <c r="C35" s="90" t="s">
        <v>53</v>
      </c>
      <c r="D35" s="87" t="s">
        <v>54</v>
      </c>
      <c r="E35" s="95" t="s">
        <v>28</v>
      </c>
      <c r="F35" s="89">
        <v>2</v>
      </c>
      <c r="G35" s="91" t="s">
        <v>46</v>
      </c>
      <c r="H35" s="48"/>
      <c r="I35" s="57"/>
      <c r="J35" s="57"/>
      <c r="K35" s="61"/>
      <c r="L35" s="62"/>
      <c r="M35" s="3" t="s">
        <v>52</v>
      </c>
    </row>
    <row r="36" spans="1:13" s="3" customFormat="1" ht="25.5" x14ac:dyDescent="0.2">
      <c r="A36" s="60">
        <f t="shared" si="0"/>
        <v>21</v>
      </c>
      <c r="B36" s="60"/>
      <c r="C36" s="90" t="s">
        <v>55</v>
      </c>
      <c r="D36" s="87" t="s">
        <v>56</v>
      </c>
      <c r="E36" s="95" t="s">
        <v>28</v>
      </c>
      <c r="F36" s="89">
        <v>4</v>
      </c>
      <c r="G36" s="91" t="s">
        <v>46</v>
      </c>
      <c r="H36" s="49"/>
      <c r="I36" s="57"/>
      <c r="J36" s="57"/>
      <c r="K36" s="61"/>
      <c r="L36" s="62"/>
      <c r="M36" s="25" t="s">
        <v>57</v>
      </c>
    </row>
    <row r="37" spans="1:13" s="3" customFormat="1" ht="38.25" x14ac:dyDescent="0.2">
      <c r="A37" s="60">
        <f t="shared" si="0"/>
        <v>22</v>
      </c>
      <c r="B37" s="60"/>
      <c r="C37" s="90" t="s">
        <v>58</v>
      </c>
      <c r="D37" s="87" t="s">
        <v>59</v>
      </c>
      <c r="E37" s="95" t="s">
        <v>28</v>
      </c>
      <c r="F37" s="89">
        <v>3</v>
      </c>
      <c r="G37" s="91" t="s">
        <v>46</v>
      </c>
      <c r="H37" s="56"/>
      <c r="I37" s="57"/>
      <c r="J37" s="58"/>
      <c r="K37" s="61"/>
      <c r="L37" s="62"/>
      <c r="M37" s="3" t="s">
        <v>60</v>
      </c>
    </row>
    <row r="38" spans="1:13" s="3" customFormat="1" ht="15.75" x14ac:dyDescent="0.2">
      <c r="A38" s="60">
        <f t="shared" si="0"/>
        <v>23</v>
      </c>
      <c r="B38" s="60"/>
      <c r="C38" s="90" t="s">
        <v>61</v>
      </c>
      <c r="D38" s="87"/>
      <c r="E38" s="95" t="s">
        <v>28</v>
      </c>
      <c r="F38" s="89">
        <v>5</v>
      </c>
      <c r="G38" s="91" t="s">
        <v>46</v>
      </c>
      <c r="H38" s="49"/>
      <c r="I38" s="57"/>
      <c r="J38" s="57"/>
      <c r="K38" s="61"/>
      <c r="L38" s="62"/>
      <c r="M38" s="3" t="s">
        <v>60</v>
      </c>
    </row>
    <row r="39" spans="1:13" s="4" customFormat="1" hidden="1" x14ac:dyDescent="0.2">
      <c r="A39" s="63" t="s">
        <v>62</v>
      </c>
      <c r="B39" s="50"/>
      <c r="C39" s="59" t="s">
        <v>63</v>
      </c>
      <c r="D39" s="50"/>
      <c r="E39" s="92" t="s">
        <v>64</v>
      </c>
      <c r="F39" s="93"/>
      <c r="G39" s="53"/>
      <c r="H39" s="81"/>
      <c r="I39" s="55"/>
      <c r="J39" s="82"/>
      <c r="K39" s="83"/>
      <c r="L39" s="84"/>
    </row>
    <row r="40" spans="1:13" s="4" customFormat="1" hidden="1" x14ac:dyDescent="0.2">
      <c r="A40" s="63" t="s">
        <v>65</v>
      </c>
      <c r="B40" s="50"/>
      <c r="C40" s="59" t="s">
        <v>66</v>
      </c>
      <c r="D40" s="50"/>
      <c r="E40" s="50" t="s">
        <v>64</v>
      </c>
      <c r="F40" s="52">
        <v>1</v>
      </c>
      <c r="G40" s="53"/>
      <c r="H40" s="54"/>
      <c r="I40" s="55"/>
      <c r="J40" s="55"/>
      <c r="K40" s="51"/>
      <c r="L40" s="64"/>
    </row>
    <row r="41" spans="1:13" s="4" customFormat="1" hidden="1" x14ac:dyDescent="0.2">
      <c r="A41" s="63" t="s">
        <v>67</v>
      </c>
      <c r="B41" s="50"/>
      <c r="C41" s="59" t="s">
        <v>68</v>
      </c>
      <c r="D41" s="50"/>
      <c r="E41" s="50" t="s">
        <v>64</v>
      </c>
      <c r="F41" s="52">
        <v>1</v>
      </c>
      <c r="G41" s="53"/>
      <c r="H41" s="54"/>
      <c r="I41" s="55"/>
      <c r="J41" s="55"/>
      <c r="K41" s="51"/>
      <c r="L41" s="65"/>
    </row>
    <row r="42" spans="1:13" ht="13.5" hidden="1" thickBot="1" x14ac:dyDescent="0.25">
      <c r="A42" s="66">
        <v>6</v>
      </c>
      <c r="B42" s="67" t="s">
        <v>69</v>
      </c>
      <c r="C42" s="68"/>
      <c r="D42" s="68"/>
      <c r="E42" s="69"/>
      <c r="F42" s="70"/>
      <c r="G42" s="71"/>
      <c r="H42" s="67"/>
      <c r="I42" s="72"/>
      <c r="J42" s="73"/>
      <c r="K42" s="68"/>
      <c r="L42" s="74">
        <f>SUM(L39:L41)</f>
        <v>0</v>
      </c>
    </row>
    <row r="43" spans="1:13" hidden="1" x14ac:dyDescent="0.2">
      <c r="C43" s="9"/>
      <c r="D43" s="9"/>
      <c r="G43" s="8"/>
      <c r="H43" s="10"/>
      <c r="I43" s="41" t="s">
        <v>70</v>
      </c>
      <c r="J43" s="42">
        <f>SUM(D6)</f>
        <v>0</v>
      </c>
    </row>
    <row r="44" spans="1:13" hidden="1" x14ac:dyDescent="0.2">
      <c r="C44" s="9"/>
      <c r="D44" s="9"/>
      <c r="G44" s="8"/>
      <c r="I44" s="35" t="s">
        <v>71</v>
      </c>
      <c r="J44" s="36">
        <f>SUM(J43-J42)</f>
        <v>0</v>
      </c>
    </row>
    <row r="45" spans="1:13" x14ac:dyDescent="0.2">
      <c r="A45" s="97"/>
      <c r="B45" s="97"/>
      <c r="C45" s="97"/>
      <c r="D45" s="97"/>
      <c r="E45" s="97"/>
      <c r="F45" s="97"/>
      <c r="G45" s="97"/>
      <c r="H45" s="97"/>
    </row>
    <row r="49" spans="1:11" x14ac:dyDescent="0.2">
      <c r="A49" s="21"/>
      <c r="B49" s="1"/>
      <c r="E49" s="5"/>
      <c r="I49" s="12"/>
      <c r="K49" s="85" t="e">
        <f>#REF!*J49</f>
        <v>#REF!</v>
      </c>
    </row>
    <row r="50" spans="1:11" x14ac:dyDescent="0.2">
      <c r="A50" s="21"/>
      <c r="B50" s="1"/>
      <c r="E50" s="5"/>
      <c r="I50" s="5"/>
    </row>
    <row r="51" spans="1:11" x14ac:dyDescent="0.2">
      <c r="A51" s="21"/>
      <c r="B51" s="1"/>
      <c r="C51" s="32"/>
      <c r="E51" s="5"/>
      <c r="I51" s="5"/>
    </row>
    <row r="52" spans="1:11" x14ac:dyDescent="0.2">
      <c r="A52" s="21"/>
      <c r="B52" s="1"/>
      <c r="E52" s="5"/>
      <c r="I52" s="5"/>
      <c r="J52" s="5"/>
    </row>
    <row r="53" spans="1:11" x14ac:dyDescent="0.2">
      <c r="A53" s="21"/>
      <c r="B53" s="1"/>
      <c r="E53" s="5"/>
      <c r="G53" s="5"/>
      <c r="I53" s="5"/>
      <c r="J53" s="5"/>
    </row>
    <row r="54" spans="1:11" x14ac:dyDescent="0.2">
      <c r="A54" s="21"/>
      <c r="B54" s="1"/>
      <c r="E54" s="5"/>
      <c r="G54" s="5"/>
      <c r="I54" s="5"/>
      <c r="J54" s="5"/>
    </row>
    <row r="55" spans="1:11" x14ac:dyDescent="0.2">
      <c r="A55" s="21"/>
      <c r="B55" s="1"/>
      <c r="C55" s="24"/>
      <c r="E55" s="5"/>
      <c r="G55" s="5"/>
      <c r="I55" s="5"/>
      <c r="J55" s="5"/>
    </row>
    <row r="56" spans="1:11" x14ac:dyDescent="0.2">
      <c r="A56" s="21"/>
      <c r="B56" s="1"/>
      <c r="E56" s="5"/>
      <c r="G56" s="5"/>
      <c r="I56" s="5"/>
      <c r="J56" s="5"/>
    </row>
    <row r="57" spans="1:11" x14ac:dyDescent="0.2">
      <c r="A57" s="21"/>
      <c r="B57" s="1"/>
      <c r="E57" s="5"/>
      <c r="G57" s="5"/>
      <c r="I57" s="5"/>
      <c r="J57" s="5"/>
    </row>
    <row r="58" spans="1:11" x14ac:dyDescent="0.2">
      <c r="A58" s="21"/>
      <c r="B58" s="1"/>
      <c r="E58" s="5"/>
      <c r="G58" s="5"/>
      <c r="I58" s="5"/>
      <c r="J58" s="5"/>
    </row>
    <row r="59" spans="1:11" x14ac:dyDescent="0.2">
      <c r="A59" s="21"/>
      <c r="B59" s="1"/>
      <c r="E59" s="5"/>
      <c r="G59" s="5"/>
      <c r="I59" s="5"/>
      <c r="J59" s="5"/>
    </row>
    <row r="60" spans="1:11" x14ac:dyDescent="0.2">
      <c r="A60" s="21"/>
      <c r="B60" s="1"/>
      <c r="D60" s="9"/>
      <c r="E60" s="5"/>
      <c r="G60" s="5"/>
      <c r="H60" s="5"/>
      <c r="I60" s="5"/>
      <c r="J60" s="5"/>
    </row>
    <row r="61" spans="1:11" x14ac:dyDescent="0.2">
      <c r="A61" s="21"/>
      <c r="B61" s="1"/>
      <c r="C61" s="9"/>
      <c r="E61" s="5"/>
      <c r="G61" s="5"/>
      <c r="H61" s="5"/>
      <c r="I61" s="5"/>
      <c r="J61" s="5"/>
    </row>
    <row r="62" spans="1:11" x14ac:dyDescent="0.2">
      <c r="A62" s="21"/>
      <c r="B62" s="1"/>
      <c r="E62" s="5"/>
      <c r="G62" s="5"/>
      <c r="H62" s="5"/>
      <c r="I62" s="5"/>
      <c r="J62" s="5"/>
    </row>
    <row r="63" spans="1:11" x14ac:dyDescent="0.2">
      <c r="A63" s="21"/>
      <c r="B63" s="1"/>
      <c r="E63" s="5"/>
      <c r="G63" s="5"/>
      <c r="H63" s="5"/>
      <c r="I63" s="5"/>
      <c r="J63" s="5"/>
    </row>
    <row r="64" spans="1:11" x14ac:dyDescent="0.2">
      <c r="A64" s="21"/>
      <c r="B64" s="1"/>
      <c r="E64" s="1"/>
      <c r="G64" s="5"/>
      <c r="H64" s="5"/>
      <c r="I64" s="5"/>
      <c r="J64" s="5"/>
    </row>
    <row r="65" spans="1:10" x14ac:dyDescent="0.2">
      <c r="A65" s="21"/>
      <c r="B65" s="1"/>
      <c r="E65" s="1"/>
      <c r="G65" s="5"/>
      <c r="H65" s="5"/>
      <c r="I65" s="5"/>
      <c r="J65" s="5"/>
    </row>
    <row r="66" spans="1:10" x14ac:dyDescent="0.2">
      <c r="A66" s="21"/>
      <c r="B66" s="1"/>
      <c r="D66" s="9"/>
      <c r="E66" s="1"/>
      <c r="G66" s="5"/>
      <c r="H66" s="5"/>
      <c r="I66" s="5"/>
      <c r="J66" s="5"/>
    </row>
    <row r="67" spans="1:10" x14ac:dyDescent="0.2">
      <c r="A67" s="21"/>
      <c r="B67" s="1"/>
      <c r="C67" s="9"/>
      <c r="D67" s="9"/>
      <c r="E67" s="1"/>
      <c r="G67" s="5"/>
      <c r="H67" s="5"/>
      <c r="I67" s="5"/>
      <c r="J67" s="5"/>
    </row>
    <row r="68" spans="1:10" x14ac:dyDescent="0.2">
      <c r="A68" s="21"/>
      <c r="B68" s="1"/>
      <c r="C68" s="9"/>
      <c r="E68" s="1"/>
      <c r="G68" s="5"/>
      <c r="H68" s="5"/>
      <c r="I68" s="5"/>
      <c r="J68" s="5"/>
    </row>
    <row r="69" spans="1:10" x14ac:dyDescent="0.2">
      <c r="A69" s="21"/>
      <c r="B69" s="1"/>
      <c r="E69" s="1"/>
      <c r="G69" s="5"/>
      <c r="H69" s="5"/>
      <c r="I69" s="5"/>
      <c r="J69" s="5"/>
    </row>
    <row r="70" spans="1:10" x14ac:dyDescent="0.2">
      <c r="A70" s="21"/>
      <c r="B70" s="1"/>
      <c r="E70" s="1"/>
      <c r="G70" s="5"/>
      <c r="H70" s="5"/>
      <c r="I70" s="5"/>
      <c r="J70" s="5"/>
    </row>
    <row r="71" spans="1:10" x14ac:dyDescent="0.2">
      <c r="A71" s="21"/>
      <c r="B71" s="1"/>
      <c r="E71" s="1"/>
      <c r="G71" s="5"/>
      <c r="H71" s="5"/>
      <c r="I71" s="5"/>
      <c r="J71" s="5"/>
    </row>
    <row r="72" spans="1:10" x14ac:dyDescent="0.2">
      <c r="A72" s="21"/>
      <c r="B72" s="1"/>
      <c r="E72" s="1"/>
      <c r="G72" s="5"/>
      <c r="H72" s="5"/>
      <c r="I72" s="5"/>
      <c r="J72" s="5"/>
    </row>
    <row r="73" spans="1:10" x14ac:dyDescent="0.2">
      <c r="A73" s="21"/>
      <c r="B73" s="1"/>
      <c r="E73" s="1"/>
      <c r="G73" s="5"/>
      <c r="H73" s="5"/>
      <c r="I73" s="5"/>
      <c r="J73" s="5"/>
    </row>
    <row r="74" spans="1:10" x14ac:dyDescent="0.2">
      <c r="A74" s="21"/>
      <c r="B74" s="1"/>
      <c r="E74" s="1"/>
      <c r="G74" s="5"/>
      <c r="H74" s="5"/>
      <c r="I74" s="5"/>
      <c r="J74" s="5"/>
    </row>
    <row r="75" spans="1:10" x14ac:dyDescent="0.2">
      <c r="A75" s="21"/>
      <c r="B75" s="1"/>
      <c r="E75" s="1"/>
      <c r="G75" s="5"/>
      <c r="H75" s="5"/>
      <c r="I75" s="5"/>
      <c r="J75" s="5"/>
    </row>
    <row r="76" spans="1:10" x14ac:dyDescent="0.2">
      <c r="A76" s="21"/>
      <c r="B76" s="1"/>
      <c r="E76" s="1"/>
      <c r="G76" s="5"/>
      <c r="H76" s="5"/>
      <c r="I76" s="5"/>
      <c r="J76" s="5"/>
    </row>
    <row r="77" spans="1:10" x14ac:dyDescent="0.2">
      <c r="A77" s="21"/>
      <c r="B77" s="1"/>
      <c r="E77" s="1"/>
      <c r="G77" s="5"/>
      <c r="H77" s="5"/>
      <c r="I77" s="5"/>
      <c r="J77" s="5"/>
    </row>
    <row r="78" spans="1:10" x14ac:dyDescent="0.2">
      <c r="A78" s="21"/>
      <c r="B78" s="1"/>
      <c r="E78" s="1"/>
      <c r="G78" s="5"/>
      <c r="H78" s="5"/>
      <c r="I78" s="5"/>
      <c r="J78" s="5"/>
    </row>
    <row r="79" spans="1:10" x14ac:dyDescent="0.2">
      <c r="A79" s="21"/>
      <c r="B79" s="1"/>
      <c r="E79" s="1"/>
      <c r="G79" s="5"/>
      <c r="H79" s="5"/>
      <c r="I79" s="5"/>
      <c r="J79" s="5"/>
    </row>
    <row r="80" spans="1:10" x14ac:dyDescent="0.2">
      <c r="A80" s="21"/>
      <c r="B80" s="1"/>
      <c r="E80" s="1"/>
      <c r="G80" s="5"/>
      <c r="H80" s="5"/>
      <c r="I80" s="5"/>
      <c r="J80" s="5"/>
    </row>
    <row r="81" spans="1:10" x14ac:dyDescent="0.2">
      <c r="A81" s="21"/>
      <c r="B81" s="1"/>
      <c r="E81" s="1"/>
      <c r="G81" s="5"/>
      <c r="H81" s="5"/>
      <c r="I81" s="5"/>
      <c r="J81" s="5"/>
    </row>
    <row r="82" spans="1:10" x14ac:dyDescent="0.2">
      <c r="A82" s="21"/>
      <c r="B82" s="1"/>
      <c r="E82" s="1"/>
      <c r="G82" s="5"/>
      <c r="H82" s="5"/>
      <c r="J82" s="5"/>
    </row>
    <row r="83" spans="1:10" x14ac:dyDescent="0.2">
      <c r="A83" s="21"/>
      <c r="B83" s="1"/>
      <c r="E83" s="1"/>
      <c r="G83" s="5"/>
      <c r="H83" s="5"/>
      <c r="J83" s="5"/>
    </row>
    <row r="84" spans="1:10" x14ac:dyDescent="0.2">
      <c r="A84" s="21"/>
      <c r="B84" s="1"/>
      <c r="E84" s="1"/>
      <c r="G84" s="5"/>
      <c r="H84" s="5"/>
    </row>
  </sheetData>
  <autoFilter ref="A15:J44">
    <filterColumn colId="6">
      <filters>
        <filter val="Корбан А."/>
      </filters>
    </filterColumn>
  </autoFilter>
  <mergeCells count="11">
    <mergeCell ref="A45:H45"/>
    <mergeCell ref="E6:J6"/>
    <mergeCell ref="E2:J2"/>
    <mergeCell ref="E3:J3"/>
    <mergeCell ref="E4:J4"/>
    <mergeCell ref="E9:J9"/>
    <mergeCell ref="E5:J5"/>
    <mergeCell ref="E10:J10"/>
    <mergeCell ref="E7:J7"/>
    <mergeCell ref="E11:J11"/>
    <mergeCell ref="E8:J8"/>
  </mergeCells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Лист1!$B$3:$B$10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10"/>
  <sheetViews>
    <sheetView workbookViewId="0">
      <selection activeCell="D15" sqref="D15"/>
    </sheetView>
  </sheetViews>
  <sheetFormatPr defaultRowHeight="12.75" x14ac:dyDescent="0.2"/>
  <sheetData>
    <row r="3" spans="2:2" x14ac:dyDescent="0.2">
      <c r="B3" t="s">
        <v>72</v>
      </c>
    </row>
    <row r="4" spans="2:2" x14ac:dyDescent="0.2">
      <c r="B4" t="s">
        <v>73</v>
      </c>
    </row>
    <row r="5" spans="2:2" x14ac:dyDescent="0.2">
      <c r="B5" t="s">
        <v>74</v>
      </c>
    </row>
    <row r="6" spans="2:2" x14ac:dyDescent="0.2">
      <c r="B6" t="s">
        <v>75</v>
      </c>
    </row>
    <row r="7" spans="2:2" x14ac:dyDescent="0.2">
      <c r="B7" t="s">
        <v>76</v>
      </c>
    </row>
    <row r="8" spans="2:2" x14ac:dyDescent="0.2">
      <c r="B8" t="s">
        <v>77</v>
      </c>
    </row>
    <row r="9" spans="2:2" x14ac:dyDescent="0.2">
      <c r="B9" t="s">
        <v>2</v>
      </c>
    </row>
    <row r="10" spans="2:2" x14ac:dyDescent="0.2">
      <c r="B10" t="s">
        <v>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E0BF2D0F7DB87478EC6A86FB2228652" ma:contentTypeVersion="1" ma:contentTypeDescription="Создание документа." ma:contentTypeScope="" ma:versionID="64f337d4858119ac33434ac79d7bd27e">
  <xsd:schema xmlns:xsd="http://www.w3.org/2001/XMLSchema" xmlns:xs="http://www.w3.org/2001/XMLSchema" xmlns:p="http://schemas.microsoft.com/office/2006/metadata/properties" xmlns:ns2="bd01ceaa-9d39-4ed9-a4cf-0f8462c9cf19" targetNamespace="http://schemas.microsoft.com/office/2006/metadata/properties" ma:root="true" ma:fieldsID="96a7f8ad806752a4921e7208da5d6082" ns2:_="">
    <xsd:import namespace="bd01ceaa-9d39-4ed9-a4cf-0f8462c9cf19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1ceaa-9d39-4ed9-a4cf-0f8462c9cf1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F6FB7A-5EC0-4925-A25F-182A055EEC56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  <ds:schemaRef ds:uri="bd01ceaa-9d39-4ed9-a4cf-0f8462c9cf1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B94D6A3-06FD-4E9E-A77E-D3175976A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01ceaa-9d39-4ed9-a4cf-0f8462c9cf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4579C4-AB49-4DF2-AFE6-C519C87758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лот</vt:lpstr>
      <vt:lpstr>Лист1</vt:lpstr>
      <vt:lpstr>лот!OLE_LINK17</vt:lpstr>
      <vt:lpstr>USD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Тарасов Дмитрий Сергеевич</dc:creator>
  <cp:keywords/>
  <dc:description/>
  <cp:lastModifiedBy>Махнев Алексей Игоревич</cp:lastModifiedBy>
  <cp:revision/>
  <dcterms:created xsi:type="dcterms:W3CDTF">2007-05-14T09:52:08Z</dcterms:created>
  <dcterms:modified xsi:type="dcterms:W3CDTF">2015-02-10T04:39:52Z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0x010100EE0BF2D0F7DB87478EC6A86FB2228652</vt:lpwstr>
  </property>
</Properties>
</file>